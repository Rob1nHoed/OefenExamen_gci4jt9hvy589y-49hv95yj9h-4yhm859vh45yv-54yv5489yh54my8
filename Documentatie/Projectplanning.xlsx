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bc7656943b9d3bdf/Documents/GitHub/OefenExamen/Documentatie/"/>
    </mc:Choice>
  </mc:AlternateContent>
  <xr:revisionPtr revIDLastSave="125" documentId="8_{45A6C1A3-392D-4AFB-BD09-4CE455736A91}" xr6:coauthVersionLast="47" xr6:coauthVersionMax="47" xr10:uidLastSave="{39F4D0AF-D097-4EA9-84EE-F8F8D31CC440}"/>
  <bookViews>
    <workbookView xWindow="-108" yWindow="-108" windowWidth="23256" windowHeight="12576" xr2:uid="{00000000-000D-0000-FFFF-FFFF00000000}"/>
  </bookViews>
  <sheets>
    <sheet name="Planner" sheetId="1" r:id="rId1"/>
  </sheets>
  <definedNames>
    <definedName name="Actual">(PeriodInActual*(Planner!$F1&gt;0))*PeriodInPlan</definedName>
    <definedName name="ActualBeyond">PeriodInActual*(Planner!$F1&gt;0)</definedName>
    <definedName name="PercentComplete">PercentCompleteBeyond*PeriodInPlan</definedName>
    <definedName name="PercentCompleteBeyond">(Planner!A$5=MEDIAN(Planner!A$5,Planner!$F1,Planner!$F1+Planner!$G1)*(Planner!$F1&gt;0))*((Planner!A$5&lt;(INT(Planner!$F1+Planner!$G1*Planner!$H1)))+(Planner!A$5=Planner!$F1))*(Planner!$H1&gt;0)</definedName>
    <definedName name="period_selected">Planner!$J$3</definedName>
    <definedName name="PeriodInActual">Planner!A$5=MEDIAN(Planner!A$5,Planner!$F1,Planner!$F1+Planner!$G1-1)</definedName>
    <definedName name="PeriodInPlan">Planner!A$5=MEDIAN(Planner!A$5,Planner!$D1,Planner!$D1+Planner!$E1-1)</definedName>
    <definedName name="Plan">PeriodInPlan*(Planner!$D1&gt;0)</definedName>
    <definedName name="_xlnm.Print_Titles" localSheetId="0">Planner!$4:$5</definedName>
    <definedName name="TitleRegion..BO60">Planner!$B$4:$B$5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21" i="1" s="1"/>
  <c r="A22" i="1" s="1"/>
</calcChain>
</file>

<file path=xl/sharedStrings.xml><?xml version="1.0" encoding="utf-8"?>
<sst xmlns="http://schemas.openxmlformats.org/spreadsheetml/2006/main" count="49" uniqueCount="45">
  <si>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</si>
  <si>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</si>
  <si>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</si>
  <si>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</si>
  <si>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</si>
  <si>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</si>
  <si>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</si>
  <si>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</si>
  <si>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</si>
  <si>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</si>
  <si>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</si>
  <si>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</si>
  <si>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</si>
  <si>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description</t>
  </si>
  <si>
    <t>Planner Project/Change #</t>
  </si>
  <si>
    <t>WBS</t>
  </si>
  <si>
    <t>Remark</t>
  </si>
  <si>
    <t>Task Lead</t>
  </si>
  <si>
    <t>PERIODS (WeekNo.)</t>
  </si>
  <si>
    <t>Deadline</t>
  </si>
  <si>
    <t>1.1</t>
  </si>
  <si>
    <t>1.2</t>
  </si>
  <si>
    <t>1.3</t>
  </si>
  <si>
    <t>1.4</t>
  </si>
  <si>
    <t>1.5</t>
  </si>
  <si>
    <t>1.6</t>
  </si>
  <si>
    <t>1.7</t>
  </si>
  <si>
    <t>1.8</t>
  </si>
  <si>
    <t>Pakket van Eisen</t>
  </si>
  <si>
    <t>Plan van Aanpak</t>
  </si>
  <si>
    <t>PvE maken</t>
  </si>
  <si>
    <t>PvA Maken</t>
  </si>
  <si>
    <t>Controle</t>
  </si>
  <si>
    <t>Verbeteren</t>
  </si>
  <si>
    <t>Ontwerp</t>
  </si>
  <si>
    <t>Functioneel ontwerp</t>
  </si>
  <si>
    <t>3.1.1.1</t>
  </si>
  <si>
    <t>Realiseren</t>
  </si>
  <si>
    <t>Implementeren</t>
  </si>
  <si>
    <t>Technisch ontwerp</t>
  </si>
  <si>
    <t xml:space="preserve">  Verbeteren</t>
  </si>
  <si>
    <t>3.2</t>
  </si>
  <si>
    <t>3.2.1</t>
  </si>
  <si>
    <t>3.2.3</t>
  </si>
  <si>
    <t xml:space="preserve">  Controle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</si>
</sst>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2"/>
      <color theme="1" tint="0.24994659260841701"/>
      <name val="Calibri"/>
      <family val="2"/>
      <scheme val="minor"/>
    </font>
    <font>
      <sz val="13"/>
      <color theme="1" tint="0.24994659260841701"/>
      <name val="Calibri"/>
      <family val="2"/>
    </font>
    <font>
      <b/>
      <sz val="42"/>
      <color theme="7"/>
      <name val="Calibri"/>
      <family val="2"/>
      <scheme val="minor"/>
    </font>
    <font>
      <b/>
      <sz val="28"/>
      <color theme="7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/>
      <right style="slantDashDot">
        <color indexed="64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47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6" fillId="0" borderId="0" xfId="8" applyFont="1">
      <alignment vertical="center"/>
    </xf>
    <xf numFmtId="0" fontId="17" fillId="0" borderId="0" xfId="8" applyFont="1">
      <alignment vertical="center"/>
    </xf>
    <xf numFmtId="0" fontId="14" fillId="0" borderId="7" xfId="0" applyFont="1" applyBorder="1" applyAlignment="1">
      <alignment horizontal="left" vertical="center"/>
    </xf>
    <xf numFmtId="0" fontId="4" fillId="0" borderId="7" xfId="2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9" fontId="6" fillId="0" borderId="7" xfId="6" applyFont="1" applyBorder="1" applyAlignment="1">
      <alignment horizontal="center" vertical="center"/>
    </xf>
    <xf numFmtId="0" fontId="15" fillId="0" borderId="7" xfId="2" applyFont="1" applyBorder="1" applyAlignment="1">
      <alignment horizontal="left" vertical="center" wrapText="1" indent="1"/>
    </xf>
    <xf numFmtId="0" fontId="15" fillId="0" borderId="7" xfId="2" applyFont="1" applyBorder="1" applyAlignment="1">
      <alignment horizontal="left" vertical="center" wrapText="1" indent="2"/>
    </xf>
    <xf numFmtId="0" fontId="15" fillId="0" borderId="7" xfId="2" applyFont="1" applyBorder="1" applyAlignment="1">
      <alignment horizontal="left" vertical="center" wrapText="1" indent="3"/>
    </xf>
    <xf numFmtId="0" fontId="5" fillId="0" borderId="7" xfId="0" quotePrefix="1" applyFont="1" applyBorder="1" applyAlignment="1">
      <alignment horizontal="center" vertical="center"/>
    </xf>
    <xf numFmtId="0" fontId="8" fillId="0" borderId="0" xfId="1" applyBorder="1" applyAlignment="1">
      <alignment horizontal="center"/>
    </xf>
    <xf numFmtId="0" fontId="5" fillId="0" borderId="7" xfId="0" applyFont="1" applyBorder="1" applyAlignment="1">
      <alignment horizontal="left" vertical="center"/>
    </xf>
    <xf numFmtId="0" fontId="10" fillId="0" borderId="0" xfId="11" applyAlignment="1">
      <alignment horizontal="left"/>
    </xf>
    <xf numFmtId="0" fontId="0" fillId="0" borderId="8" xfId="0" applyBorder="1">
      <alignment horizontal="center" vertical="center"/>
    </xf>
    <xf numFmtId="0" fontId="10" fillId="0" borderId="0" xfId="9">
      <alignment vertical="center"/>
    </xf>
    <xf numFmtId="0" fontId="10" fillId="0" borderId="0" xfId="9" applyBorder="1">
      <alignment vertical="center"/>
    </xf>
    <xf numFmtId="0" fontId="10" fillId="0" borderId="0" xfId="10" applyBorder="1">
      <alignment horizontal="center" vertical="center" wrapText="1"/>
    </xf>
    <xf numFmtId="0" fontId="13" fillId="0" borderId="0" xfId="5" applyFont="1" applyBorder="1">
      <alignment horizontal="left" vertical="center"/>
    </xf>
    <xf numFmtId="0" fontId="0" fillId="0" borderId="5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7" fillId="0" borderId="5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6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6" xfId="5" applyFont="1" applyBorder="1">
      <alignment horizontal="left" vertical="center"/>
    </xf>
    <xf numFmtId="0" fontId="0" fillId="0" borderId="5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6" xfId="5" applyFont="1" applyBorder="1" applyAlignment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9000000}"/>
    <cellStyle name="Normal" xfId="0" builtinId="0" customBuiltin="1"/>
    <cellStyle name="Percent Complete" xfId="6" xr:uid="{00000000-0005-0000-0000-00000A000000}"/>
    <cellStyle name="Period Headers" xfId="3" xr:uid="{00000000-0005-0000-0000-00000B000000}"/>
    <cellStyle name="Period Highlight Control" xfId="7" xr:uid="{00000000-0005-0000-0000-00000C000000}"/>
    <cellStyle name="Period Value" xfId="13" xr:uid="{00000000-0005-0000-0000-00000D000000}"/>
    <cellStyle name="Plan legend" xfId="14" xr:uid="{00000000-0005-0000-0000-00000E000000}"/>
    <cellStyle name="Project Headers" xfId="4" xr:uid="{00000000-0005-0000-0000-00000F000000}"/>
    <cellStyle name="Title" xfId="8" builtinId="15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BQ22"/>
  <sheetViews>
    <sheetView showGridLines="0" tabSelected="1" topLeftCell="A4" zoomScale="70" zoomScaleNormal="70" zoomScaleSheetLayoutView="80" workbookViewId="0">
      <selection activeCell="D10" sqref="D10"/>
    </sheetView>
  </sheetViews>
  <sheetFormatPr defaultColWidth="2.77734375" defaultRowHeight="30" customHeight="1" x14ac:dyDescent="0.35"/>
  <cols>
    <col min="1" max="1" width="6.88671875" bestFit="1" customWidth="1"/>
    <col min="2" max="2" width="50.33203125" style="2" bestFit="1" customWidth="1"/>
    <col min="3" max="3" width="22.88671875" style="2" customWidth="1"/>
    <col min="4" max="7" width="11.6640625" style="1" customWidth="1"/>
    <col min="8" max="9" width="15.6640625" style="4" customWidth="1"/>
    <col min="10" max="29" width="2.77734375" style="1"/>
  </cols>
  <sheetData>
    <row r="1" spans="1:69" ht="60" customHeight="1" x14ac:dyDescent="1">
      <c r="B1" s="16" t="s">
        <v>14</v>
      </c>
      <c r="C1" s="16"/>
      <c r="D1" s="9"/>
      <c r="E1" s="9"/>
      <c r="F1" s="9"/>
      <c r="G1" s="9"/>
      <c r="H1" s="9"/>
      <c r="I1" s="9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9" ht="42.75" customHeight="1" thickBot="1" x14ac:dyDescent="1.05">
      <c r="B2" s="17" t="s">
        <v>13</v>
      </c>
      <c r="C2" s="17"/>
      <c r="D2" s="9"/>
      <c r="E2" s="9"/>
      <c r="F2" s="9"/>
      <c r="G2" s="9"/>
      <c r="H2" s="9"/>
      <c r="I2" s="9"/>
    </row>
    <row r="3" spans="1:69" ht="21" customHeight="1" thickTop="1" thickBot="1" x14ac:dyDescent="1.05">
      <c r="B3" s="36" t="s">
        <v>12</v>
      </c>
      <c r="C3" s="36"/>
      <c r="D3" s="36"/>
      <c r="E3" s="36"/>
      <c r="F3" s="36"/>
      <c r="G3" s="36"/>
      <c r="H3" s="26"/>
      <c r="I3" s="5" t="s">
        <v>4</v>
      </c>
      <c r="J3" s="10">
        <v>1</v>
      </c>
      <c r="L3" s="11"/>
      <c r="M3" s="39" t="s">
        <v>11</v>
      </c>
      <c r="N3" s="40"/>
      <c r="O3" s="40"/>
      <c r="P3" s="40"/>
      <c r="Q3" s="41"/>
      <c r="R3" s="12"/>
      <c r="S3" s="39" t="s">
        <v>10</v>
      </c>
      <c r="T3" s="42"/>
      <c r="U3" s="42"/>
      <c r="V3" s="41"/>
      <c r="W3" s="13"/>
      <c r="X3" s="34" t="s">
        <v>1</v>
      </c>
      <c r="Y3" s="35"/>
      <c r="Z3" s="35"/>
      <c r="AA3" s="43"/>
      <c r="AB3" s="14"/>
      <c r="AC3" s="44" t="s">
        <v>2</v>
      </c>
      <c r="AD3" s="45"/>
      <c r="AE3" s="45"/>
      <c r="AF3" s="45"/>
      <c r="AG3" s="45"/>
      <c r="AH3" s="45"/>
      <c r="AI3" s="46"/>
      <c r="AJ3" s="15"/>
      <c r="AK3" s="34" t="s">
        <v>3</v>
      </c>
      <c r="AL3" s="35"/>
      <c r="AM3" s="35"/>
      <c r="AN3" s="35"/>
      <c r="AO3" s="35"/>
      <c r="AP3" s="35"/>
      <c r="AQ3" s="35"/>
      <c r="AR3" s="35"/>
      <c r="AT3" s="29"/>
      <c r="AU3" s="33" t="s">
        <v>19</v>
      </c>
      <c r="AV3" s="33"/>
      <c r="AW3" s="33"/>
      <c r="AX3" s="33"/>
    </row>
    <row r="4" spans="1:69" s="8" customFormat="1" ht="39.9" customHeight="1" thickTop="1" x14ac:dyDescent="0.3">
      <c r="A4" s="30" t="s">
        <v>15</v>
      </c>
      <c r="B4" s="30" t="s">
        <v>0</v>
      </c>
      <c r="C4" s="30" t="s">
        <v>17</v>
      </c>
      <c r="D4" s="38" t="s">
        <v>5</v>
      </c>
      <c r="E4" s="38" t="s">
        <v>6</v>
      </c>
      <c r="F4" s="38" t="s">
        <v>7</v>
      </c>
      <c r="G4" s="38" t="s">
        <v>8</v>
      </c>
      <c r="H4" s="32" t="s">
        <v>9</v>
      </c>
      <c r="I4" s="32" t="s">
        <v>16</v>
      </c>
      <c r="J4" s="28" t="s">
        <v>18</v>
      </c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69" ht="15.75" customHeight="1" x14ac:dyDescent="0.3">
      <c r="A5" s="31"/>
      <c r="B5" s="37"/>
      <c r="C5" s="31"/>
      <c r="D5" s="32"/>
      <c r="E5" s="32"/>
      <c r="F5" s="32"/>
      <c r="G5" s="32"/>
      <c r="H5" s="32"/>
      <c r="I5" s="32"/>
      <c r="J5" s="3">
        <v>1</v>
      </c>
      <c r="K5" s="3">
        <v>2</v>
      </c>
      <c r="L5" s="3">
        <v>3</v>
      </c>
      <c r="M5" s="3">
        <v>4</v>
      </c>
      <c r="N5" s="3">
        <v>5</v>
      </c>
      <c r="O5" s="3">
        <v>6</v>
      </c>
      <c r="P5" s="3">
        <v>7</v>
      </c>
      <c r="Q5" s="3">
        <v>8</v>
      </c>
      <c r="R5" s="3">
        <v>9</v>
      </c>
      <c r="S5" s="3">
        <v>10</v>
      </c>
      <c r="T5" s="3">
        <v>11</v>
      </c>
      <c r="U5" s="3">
        <v>12</v>
      </c>
      <c r="V5" s="3">
        <v>13</v>
      </c>
      <c r="W5" s="3">
        <v>14</v>
      </c>
      <c r="X5" s="3">
        <v>15</v>
      </c>
      <c r="Y5" s="3">
        <v>16</v>
      </c>
      <c r="Z5" s="3">
        <v>17</v>
      </c>
      <c r="AA5" s="3">
        <v>18</v>
      </c>
      <c r="AB5" s="3">
        <v>19</v>
      </c>
      <c r="AC5" s="3">
        <v>20</v>
      </c>
      <c r="AD5" s="3">
        <v>21</v>
      </c>
      <c r="AE5" s="3">
        <v>22</v>
      </c>
      <c r="AF5" s="3">
        <v>23</v>
      </c>
      <c r="AG5" s="3">
        <v>24</v>
      </c>
      <c r="AH5" s="3">
        <v>25</v>
      </c>
      <c r="AI5" s="3">
        <v>26</v>
      </c>
      <c r="AJ5" s="3">
        <v>27</v>
      </c>
      <c r="AK5" s="3">
        <v>28</v>
      </c>
      <c r="AL5" s="3">
        <v>29</v>
      </c>
      <c r="AM5" s="3">
        <v>30</v>
      </c>
      <c r="AN5" s="3">
        <v>31</v>
      </c>
      <c r="AO5" s="3">
        <v>32</v>
      </c>
      <c r="AP5" s="3">
        <v>33</v>
      </c>
      <c r="AQ5" s="3">
        <v>34</v>
      </c>
      <c r="AR5" s="3">
        <v>35</v>
      </c>
      <c r="AS5" s="3">
        <v>36</v>
      </c>
      <c r="AT5" s="3">
        <v>37</v>
      </c>
      <c r="AU5" s="3">
        <v>38</v>
      </c>
      <c r="AV5" s="3">
        <v>39</v>
      </c>
      <c r="AW5" s="3">
        <v>40</v>
      </c>
      <c r="AX5" s="3">
        <v>41</v>
      </c>
      <c r="AY5" s="3">
        <v>42</v>
      </c>
      <c r="AZ5" s="3">
        <v>43</v>
      </c>
      <c r="BA5" s="3">
        <v>44</v>
      </c>
      <c r="BB5" s="3">
        <v>45</v>
      </c>
      <c r="BC5" s="3">
        <v>46</v>
      </c>
      <c r="BD5" s="3">
        <v>47</v>
      </c>
      <c r="BE5" s="3">
        <v>48</v>
      </c>
      <c r="BF5" s="3">
        <v>49</v>
      </c>
      <c r="BG5" s="3">
        <v>50</v>
      </c>
      <c r="BH5" s="3">
        <v>51</v>
      </c>
      <c r="BI5" s="3">
        <v>52</v>
      </c>
      <c r="BJ5" s="3" t="s">
        <v>20</v>
      </c>
      <c r="BK5" s="3" t="s">
        <v>21</v>
      </c>
      <c r="BL5" s="3" t="s">
        <v>22</v>
      </c>
      <c r="BM5" s="3" t="s">
        <v>23</v>
      </c>
      <c r="BN5" s="3" t="s">
        <v>24</v>
      </c>
      <c r="BO5" s="3" t="s">
        <v>25</v>
      </c>
      <c r="BP5" s="3" t="s">
        <v>26</v>
      </c>
      <c r="BQ5" s="3" t="s">
        <v>27</v>
      </c>
    </row>
    <row r="6" spans="1:69" ht="30" customHeight="1" x14ac:dyDescent="0.3">
      <c r="A6" s="18">
        <f ca="1">IF(ISERROR(VALUE(SUBSTITUTE(OFFSET(A6,-1,0,1,1),".",""))),1,IF(ISERROR(FIND("`",SUBSTITUTE(OFFSET(A6,-1,0,1,1),".","`",1))),VALUE(OFFSET(A6,-1,0,1,1))+1,VALUE(LEFT(OFFSET(A6,-1,0,1,1),FIND("`",SUBSTITUTE(OFFSET(A6,-1,0,1,1),".","`",1))-1))+1))</f>
        <v>1</v>
      </c>
      <c r="B6" s="19" t="s">
        <v>28</v>
      </c>
      <c r="C6" s="19"/>
      <c r="D6" s="20">
        <v>1</v>
      </c>
      <c r="E6" s="20">
        <v>2</v>
      </c>
      <c r="F6" s="20">
        <v>1</v>
      </c>
      <c r="G6" s="20">
        <v>2</v>
      </c>
      <c r="H6" s="21">
        <v>0</v>
      </c>
      <c r="I6" s="27"/>
    </row>
    <row r="7" spans="1:69" ht="30" customHeight="1" x14ac:dyDescent="0.3">
      <c r="A7" s="18" t="str">
        <f ca="1">IF(ISERROR(VALUE(SUBSTITUTE(OFFSET(A7,-1,0,1,1),".",""))),"0.1",IF(ISERROR(FIND("`",SUBSTITUTE(OFFSET(A7,-1,0,1,1),".","`",1))),OFFSET(A7,-1,0,1,1)&amp;".1",LEFT(OFFSET(A7,-1,0,1,1),FIND("`",SUBSTITUTE(OFFSET(A7,-1,0,1,1),".","`",1)))&amp;IF(ISERROR(FIND("`",SUBSTITUTE(OFFSET(A7,-1,0,1,1),".","`",2))),VALUE(RIGHT(OFFSET(A7,-1,0,1,1),LEN(OFFSET(A7,-1,0,1,1))-FIND("`",SUBSTITUTE(OFFSET(A7,-1,0,1,1),".","`",1))))+1,VALUE(MID(OFFSET(A7,-1,0,1,1),FIND("`",SUBSTITUTE(OFFSET(A7,-1,0,1,1),".","`",1))+1,(FIND("`",SUBSTITUTE(OFFSET(A7,-1,0,1,1),".","`",2))-FIND("`",SUBSTITUTE(OFFSET(A7,-1,0,1,1),".","`",1))-1)))+1)))</f>
        <v>1.1</v>
      </c>
      <c r="B7" s="22" t="s">
        <v>30</v>
      </c>
      <c r="C7" s="22"/>
      <c r="D7" s="20">
        <v>1</v>
      </c>
      <c r="E7" s="20">
        <v>1</v>
      </c>
      <c r="F7" s="20">
        <v>1</v>
      </c>
      <c r="G7" s="20">
        <v>1</v>
      </c>
      <c r="H7" s="21">
        <v>1</v>
      </c>
      <c r="I7" s="27"/>
    </row>
    <row r="8" spans="1:69" ht="30" customHeight="1" x14ac:dyDescent="0.3">
      <c r="A8" s="18" t="str">
        <f ca="1">IF(ISERROR(VALUE(SUBSTITUTE(OFFSET(A8,-1,0,1,1),".",""))),"0.0.1",IF(ISERROR(FIND("`",SUBSTITUTE(OFFSET(A8,-1,0,1,1),".","`",2))),OFFSET(A8,-1,0,1,1)&amp;".1",LEFT(OFFSET(A8,-1,0,1,1),FIND("`",SUBSTITUTE(OFFSET(A8,-1,0,1,1),".","`",2)))&amp;IF(ISERROR(FIND("`",SUBSTITUTE(OFFSET(A8,-1,0,1,1),".","`",3))),VALUE(RIGHT(OFFSET(A8,-1,0,1,1),LEN(OFFSET(A8,-1,0,1,1))-FIND("`",SUBSTITUTE(OFFSET(A8,-1,0,1,1),".","`",2))))+1,VALUE(MID(OFFSET(A8,-1,0,1,1),FIND("`",SUBSTITUTE(OFFSET(A8,-1,0,1,1),".","`",2))+1,(FIND("`",SUBSTITUTE(OFFSET(A8,-1,0,1,1),".","`",3))-FIND("`",SUBSTITUTE(OFFSET(A8,-1,0,1,1),".","`",2))-1)))+1)))</f>
        <v>1.1.1</v>
      </c>
      <c r="B8" s="23" t="s">
        <v>32</v>
      </c>
      <c r="C8" s="23"/>
      <c r="D8" s="20">
        <v>1</v>
      </c>
      <c r="E8" s="20">
        <v>1</v>
      </c>
      <c r="F8" s="20">
        <v>1</v>
      </c>
      <c r="G8" s="20">
        <v>1</v>
      </c>
      <c r="H8" s="21">
        <v>0</v>
      </c>
      <c r="I8" s="27"/>
    </row>
    <row r="9" spans="1:69" ht="30" customHeight="1" x14ac:dyDescent="0.3">
      <c r="A9" s="18" t="str">
        <f ca="1">IF(ISERROR(VALUE(SUBSTITUTE(OFFSET(A9,-1,0,1,1),".",""))),"0.0.0.1",IF(ISERROR(FIND("`",SUBSTITUTE(OFFSET(A9,-1,0,1,1),".","`",3))),OFFSET(A9,-1,0,1,1)&amp;".1",LEFT(OFFSET(A9,-1,0,1,1),FIND("`",SUBSTITUTE(OFFSET(A9,-1,0,1,1),".","`",3)))&amp;IF(ISERROR(FIND("`",SUBSTITUTE(OFFSET(A9,-1,0,1,1),".","`",4))),VALUE(RIGHT(OFFSET(A9,-1,0,1,1),LEN(OFFSET(A9,-1,0,1,1))-FIND("`",SUBSTITUTE(OFFSET(A9,-1,0,1,1),".","`",3))))+1,VALUE(MID(OFFSET(A9,-1,0,1,1),FIND("`",SUBSTITUTE(OFFSET(A9,-1,0,1,1),".","`",3))+1,(FIND("`",SUBSTITUTE(OFFSET(A9,-1,0,1,1),".","`",4))-FIND("`",SUBSTITUTE(OFFSET(A9,-1,0,1,1),".","`",3))-1)))+1)))</f>
        <v>1.1.1.1</v>
      </c>
      <c r="B9" s="24" t="s">
        <v>33</v>
      </c>
      <c r="C9" s="24"/>
      <c r="D9" s="20">
        <v>2</v>
      </c>
      <c r="E9" s="20">
        <v>2</v>
      </c>
      <c r="F9" s="20">
        <v>2</v>
      </c>
      <c r="G9" s="20">
        <v>1</v>
      </c>
      <c r="H9" s="21">
        <v>0</v>
      </c>
      <c r="I9" s="27"/>
    </row>
    <row r="10" spans="1:69" ht="30" customHeight="1" x14ac:dyDescent="0.3">
      <c r="A10" s="18">
        <f ca="1">IF(ISERROR(VALUE(SUBSTITUTE(OFFSET(A10,-1,0,1,1),".",""))),1,IF(ISERROR(FIND("`",SUBSTITUTE(OFFSET(A10,-1,0,1,1),".","`",1))),VALUE(OFFSET(A10,-1,0,1,1))+1,VALUE(LEFT(OFFSET(A10,-1,0,1,1),FIND("`",SUBSTITUTE(OFFSET(A10,-1,0,1,1),".","`",1))-1))+1))</f>
        <v>2</v>
      </c>
      <c r="B10" s="19" t="s">
        <v>29</v>
      </c>
      <c r="C10" s="19"/>
      <c r="D10" s="20"/>
      <c r="E10" s="20"/>
      <c r="F10" s="20"/>
      <c r="G10" s="20"/>
      <c r="H10" s="21">
        <v>0</v>
      </c>
      <c r="I10" s="27"/>
    </row>
    <row r="11" spans="1:69" ht="30" customHeight="1" x14ac:dyDescent="0.3">
      <c r="A11" s="18" t="str">
        <f ca="1">IF(ISERROR(VALUE(SUBSTITUTE(OFFSET(A11,-1,0,1,1),".",""))),"0.1",IF(ISERROR(FIND("`",SUBSTITUTE(OFFSET(A11,-1,0,1,1),".","`",1))),OFFSET(A11,-1,0,1,1)&amp;".1",LEFT(OFFSET(A11,-1,0,1,1),FIND("`",SUBSTITUTE(OFFSET(A11,-1,0,1,1),".","`",1)))&amp;IF(ISERROR(FIND("`",SUBSTITUTE(OFFSET(A11,-1,0,1,1),".","`",2))),VALUE(RIGHT(OFFSET(A11,-1,0,1,1),LEN(OFFSET(A11,-1,0,1,1))-FIND("`",SUBSTITUTE(OFFSET(A11,-1,0,1,1),".","`",1))))+1,VALUE(MID(OFFSET(A11,-1,0,1,1),FIND("`",SUBSTITUTE(OFFSET(A11,-1,0,1,1),".","`",1))+1,(FIND("`",SUBSTITUTE(OFFSET(A11,-1,0,1,1),".","`",2))-FIND("`",SUBSTITUTE(OFFSET(A11,-1,0,1,1),".","`",1))-1)))+1)))</f>
        <v>2.1</v>
      </c>
      <c r="B11" s="22" t="s">
        <v>31</v>
      </c>
      <c r="C11" s="22"/>
      <c r="D11" s="20"/>
      <c r="E11" s="20"/>
      <c r="F11" s="20"/>
      <c r="G11" s="20"/>
      <c r="H11" s="21">
        <v>0</v>
      </c>
      <c r="I11" s="27"/>
    </row>
    <row r="12" spans="1:69" ht="30" customHeight="1" x14ac:dyDescent="0.3">
      <c r="A12" s="18" t="str">
        <f ca="1">IF(ISERROR(VALUE(SUBSTITUTE(OFFSET(A12,-1,0,1,1),".",""))),"0.0.1",IF(ISERROR(FIND("`",SUBSTITUTE(OFFSET(A12,-1,0,1,1),".","`",2))),OFFSET(A12,-1,0,1,1)&amp;".1",LEFT(OFFSET(A12,-1,0,1,1),FIND("`",SUBSTITUTE(OFFSET(A12,-1,0,1,1),".","`",2)))&amp;IF(ISERROR(FIND("`",SUBSTITUTE(OFFSET(A12,-1,0,1,1),".","`",3))),VALUE(RIGHT(OFFSET(A12,-1,0,1,1),LEN(OFFSET(A12,-1,0,1,1))-FIND("`",SUBSTITUTE(OFFSET(A12,-1,0,1,1),".","`",2))))+1,VALUE(MID(OFFSET(A12,-1,0,1,1),FIND("`",SUBSTITUTE(OFFSET(A12,-1,0,1,1),".","`",2))+1,(FIND("`",SUBSTITUTE(OFFSET(A12,-1,0,1,1),".","`",3))-FIND("`",SUBSTITUTE(OFFSET(A12,-1,0,1,1),".","`",2))-1)))+1)))</f>
        <v>2.1.1</v>
      </c>
      <c r="B12" s="23" t="s">
        <v>32</v>
      </c>
      <c r="C12" s="23"/>
      <c r="D12" s="20"/>
      <c r="E12" s="20"/>
      <c r="F12" s="20"/>
      <c r="G12" s="20"/>
      <c r="H12" s="21">
        <v>0</v>
      </c>
      <c r="I12" s="27"/>
    </row>
    <row r="13" spans="1:69" ht="30" customHeight="1" x14ac:dyDescent="0.3">
      <c r="A13" s="18" t="str">
        <f ca="1">IF(ISERROR(VALUE(SUBSTITUTE(OFFSET(A13,-1,0,1,1),".",""))),"0.0.0.1",IF(ISERROR(FIND("`",SUBSTITUTE(OFFSET(A13,-1,0,1,1),".","`",3))),OFFSET(A13,-1,0,1,1)&amp;".1",LEFT(OFFSET(A13,-1,0,1,1),FIND("`",SUBSTITUTE(OFFSET(A13,-1,0,1,1),".","`",3)))&amp;IF(ISERROR(FIND("`",SUBSTITUTE(OFFSET(A13,-1,0,1,1),".","`",4))),VALUE(RIGHT(OFFSET(A13,-1,0,1,1),LEN(OFFSET(A13,-1,0,1,1))-FIND("`",SUBSTITUTE(OFFSET(A13,-1,0,1,1),".","`",3))))+1,VALUE(MID(OFFSET(A13,-1,0,1,1),FIND("`",SUBSTITUTE(OFFSET(A13,-1,0,1,1),".","`",3))+1,(FIND("`",SUBSTITUTE(OFFSET(A13,-1,0,1,1),".","`",4))-FIND("`",SUBSTITUTE(OFFSET(A13,-1,0,1,1),".","`",3))-1)))+1)))</f>
        <v>2.1.1.1</v>
      </c>
      <c r="B13" s="24" t="s">
        <v>33</v>
      </c>
      <c r="C13" s="24"/>
      <c r="D13" s="20"/>
      <c r="E13" s="20"/>
      <c r="F13" s="20"/>
      <c r="G13" s="20"/>
      <c r="H13" s="21">
        <v>0</v>
      </c>
      <c r="I13" s="27"/>
    </row>
    <row r="14" spans="1:69" ht="30" customHeight="1" x14ac:dyDescent="0.3">
      <c r="A14" s="18">
        <f ca="1">IF(ISERROR(VALUE(SUBSTITUTE(OFFSET(A14,-1,0,1,1),".",""))),1,IF(ISERROR(FIND("`",SUBSTITUTE(OFFSET(A14,-1,0,1,1),".","`",1))),VALUE(OFFSET(A14,-1,0,1,1))+1,VALUE(LEFT(OFFSET(A14,-1,0,1,1),FIND("`",SUBSTITUTE(OFFSET(A14,-1,0,1,1),".","`",1))-1))+1))</f>
        <v>3</v>
      </c>
      <c r="B14" s="19" t="s">
        <v>34</v>
      </c>
      <c r="C14" s="19"/>
      <c r="D14" s="20"/>
      <c r="E14" s="20"/>
      <c r="F14" s="20"/>
      <c r="G14" s="20"/>
      <c r="H14" s="21">
        <v>0</v>
      </c>
      <c r="I14" s="27"/>
    </row>
    <row r="15" spans="1:69" ht="30" customHeight="1" x14ac:dyDescent="0.3">
      <c r="A15" s="18" t="str">
        <f ca="1">IF(ISERROR(VALUE(SUBSTITUTE(OFFSET(A15,-1,0,1,1),".",""))),"0.1",IF(ISERROR(FIND("`",SUBSTITUTE(OFFSET(A15,-1,0,1,1),".","`",1))),OFFSET(A15,-1,0,1,1)&amp;".1",LEFT(OFFSET(A15,-1,0,1,1),FIND("`",SUBSTITUTE(OFFSET(A15,-1,0,1,1),".","`",1)))&amp;IF(ISERROR(FIND("`",SUBSTITUTE(OFFSET(A15,-1,0,1,1),".","`",2))),VALUE(RIGHT(OFFSET(A15,-1,0,1,1),LEN(OFFSET(A15,-1,0,1,1))-FIND("`",SUBSTITUTE(OFFSET(A15,-1,0,1,1),".","`",1))))+1,VALUE(MID(OFFSET(A15,-1,0,1,1),FIND("`",SUBSTITUTE(OFFSET(A15,-1,0,1,1),".","`",1))+1,(FIND("`",SUBSTITUTE(OFFSET(A15,-1,0,1,1),".","`",2))-FIND("`",SUBSTITUTE(OFFSET(A15,-1,0,1,1),".","`",1))-1)))+1)))</f>
        <v>3.1</v>
      </c>
      <c r="B15" s="22" t="s">
        <v>35</v>
      </c>
      <c r="C15" s="22"/>
      <c r="D15" s="20"/>
      <c r="E15" s="20"/>
      <c r="F15" s="20"/>
      <c r="G15" s="20"/>
      <c r="H15" s="21">
        <v>0</v>
      </c>
      <c r="I15" s="27"/>
    </row>
    <row r="16" spans="1:69" ht="30" customHeight="1" x14ac:dyDescent="0.3">
      <c r="A16" s="18" t="str">
        <f ca="1">IF(ISERROR(VALUE(SUBSTITUTE(OFFSET(A16,-1,0,1,1),".",""))),"0.0.1",IF(ISERROR(FIND("`",SUBSTITUTE(OFFSET(A16,-1,0,1,1),".","`",2))),OFFSET(A16,-1,0,1,1)&amp;".1",LEFT(OFFSET(A16,-1,0,1,1),FIND("`",SUBSTITUTE(OFFSET(A16,-1,0,1,1),".","`",2)))&amp;IF(ISERROR(FIND("`",SUBSTITUTE(OFFSET(A16,-1,0,1,1),".","`",3))),VALUE(RIGHT(OFFSET(A16,-1,0,1,1),LEN(OFFSET(A16,-1,0,1,1))-FIND("`",SUBSTITUTE(OFFSET(A16,-1,0,1,1),".","`",2))))+1,VALUE(MID(OFFSET(A16,-1,0,1,1),FIND("`",SUBSTITUTE(OFFSET(A16,-1,0,1,1),".","`",2))+1,(FIND("`",SUBSTITUTE(OFFSET(A16,-1,0,1,1),".","`",3))-FIND("`",SUBSTITUTE(OFFSET(A16,-1,0,1,1),".","`",2))-1)))+1)))</f>
        <v>3.1.1</v>
      </c>
      <c r="B16" s="23" t="s">
        <v>32</v>
      </c>
      <c r="C16" s="23"/>
      <c r="D16" s="25"/>
      <c r="E16" s="20"/>
      <c r="F16" s="20"/>
      <c r="G16" s="20"/>
      <c r="H16" s="21">
        <v>0</v>
      </c>
      <c r="I16" s="27"/>
    </row>
    <row r="17" spans="1:9" ht="30" customHeight="1" x14ac:dyDescent="0.3">
      <c r="A17" s="18" t="s">
        <v>36</v>
      </c>
      <c r="B17" s="23" t="s">
        <v>40</v>
      </c>
      <c r="C17" s="23"/>
      <c r="D17" s="25"/>
      <c r="E17" s="20"/>
      <c r="F17" s="20"/>
      <c r="G17" s="20"/>
      <c r="H17" s="21">
        <v>0</v>
      </c>
      <c r="I17" s="27"/>
    </row>
    <row r="18" spans="1:9" ht="30" customHeight="1" x14ac:dyDescent="0.3">
      <c r="A18" s="18" t="s">
        <v>41</v>
      </c>
      <c r="B18" s="23" t="s">
        <v>39</v>
      </c>
      <c r="C18" s="23"/>
      <c r="D18" s="25"/>
      <c r="E18" s="20"/>
      <c r="F18" s="20"/>
      <c r="G18" s="20"/>
      <c r="H18" s="21">
        <v>0</v>
      </c>
      <c r="I18" s="27"/>
    </row>
    <row r="19" spans="1:9" ht="30" customHeight="1" x14ac:dyDescent="0.3">
      <c r="A19" s="18" t="s">
        <v>42</v>
      </c>
      <c r="B19" s="23" t="s">
        <v>44</v>
      </c>
      <c r="C19" s="23"/>
      <c r="D19" s="25"/>
      <c r="E19" s="20"/>
      <c r="F19" s="20"/>
      <c r="G19" s="20"/>
      <c r="H19" s="21">
        <v>0</v>
      </c>
      <c r="I19" s="27"/>
    </row>
    <row r="20" spans="1:9" ht="30" customHeight="1" x14ac:dyDescent="0.3">
      <c r="A20" s="18" t="s">
        <v>43</v>
      </c>
      <c r="B20" s="24" t="s">
        <v>40</v>
      </c>
      <c r="C20" s="24"/>
      <c r="D20" s="20"/>
      <c r="E20" s="20"/>
      <c r="F20" s="20"/>
      <c r="G20" s="20"/>
      <c r="H20" s="21">
        <v>0</v>
      </c>
      <c r="I20" s="27"/>
    </row>
    <row r="21" spans="1:9" ht="30" customHeight="1" x14ac:dyDescent="0.3">
      <c r="A21" s="18">
        <f ca="1">IF(ISERROR(VALUE(SUBSTITUTE(OFFSET(A21,-1,0,1,1),".",""))),1,IF(ISERROR(FIND("`",SUBSTITUTE(OFFSET(A21,-1,0,1,1),".","`",1))),VALUE(OFFSET(A21,-1,0,1,1))+1,VALUE(LEFT(OFFSET(A21,-1,0,1,1),FIND("`",SUBSTITUTE(OFFSET(A21,-1,0,1,1),".","`",1))-1))+1))</f>
        <v>4</v>
      </c>
      <c r="B21" s="19" t="s">
        <v>37</v>
      </c>
      <c r="C21" s="19"/>
      <c r="D21" s="20"/>
      <c r="E21" s="20"/>
      <c r="F21" s="20"/>
      <c r="G21" s="20"/>
      <c r="H21" s="21">
        <v>0</v>
      </c>
      <c r="I21" s="27"/>
    </row>
    <row r="22" spans="1:9" ht="30" customHeight="1" x14ac:dyDescent="0.3">
      <c r="A22" s="18">
        <f ca="1">IF(ISERROR(VALUE(SUBSTITUTE(OFFSET(A22,-1,0,1,1),".",""))),1,IF(ISERROR(FIND("`",SUBSTITUTE(OFFSET(A22,-1,0,1,1),".","`",1))),VALUE(OFFSET(A22,-1,0,1,1))+1,VALUE(LEFT(OFFSET(A22,-1,0,1,1),FIND("`",SUBSTITUTE(OFFSET(A22,-1,0,1,1),".","`",1))-1))+1))</f>
        <v>5</v>
      </c>
      <c r="B22" s="19" t="s">
        <v>38</v>
      </c>
      <c r="C22" s="19"/>
      <c r="D22" s="20"/>
      <c r="E22" s="20"/>
      <c r="F22" s="20"/>
      <c r="G22" s="20"/>
      <c r="H22" s="21">
        <v>0</v>
      </c>
      <c r="I22" s="27"/>
    </row>
  </sheetData>
  <mergeCells count="16">
    <mergeCell ref="A4:A5"/>
    <mergeCell ref="I4:I5"/>
    <mergeCell ref="C4:C5"/>
    <mergeCell ref="AU3:AX3"/>
    <mergeCell ref="AK3:AR3"/>
    <mergeCell ref="B3:G3"/>
    <mergeCell ref="B4:B5"/>
    <mergeCell ref="D4:D5"/>
    <mergeCell ref="E4:E5"/>
    <mergeCell ref="F4:F5"/>
    <mergeCell ref="G4:G5"/>
    <mergeCell ref="H4:H5"/>
    <mergeCell ref="M3:Q3"/>
    <mergeCell ref="S3:V3"/>
    <mergeCell ref="X3:AA3"/>
    <mergeCell ref="AC3:AI3"/>
  </mergeCells>
  <conditionalFormatting sqref="J6:BQ22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Actual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J$5=period_selected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23:BQ23">
    <cfRule type="expression" dxfId="1" priority="2">
      <formula>TRUE</formula>
    </cfRule>
  </conditionalFormatting>
  <conditionalFormatting sqref="J5:BQ5">
    <cfRule type="expression" dxfId="0" priority="8">
      <formula>J$5=period_selected</formula>
    </cfRule>
  </conditionalFormatting>
  <dataValidations xWindow="625" yWindow="349"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:A2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Select a period from the list. Press ALT+DOWN ARROW to navigate the list, then ENTER to select a value" sqref="J3" xr:uid="{00000000-0002-0000-0000-000001000000}">
      <formula1>"1,2,3,4,5,6,7,8,9,10,11,12,13,14,15,16,17,18,19,20,21,22,23,24,$CQ$525,26,27,28,29,30,31,32,33,34,35,36,37,38,39,40,41,42,43,44,45,46,47,48,49,50,51,52,1.1,1.2,1.3,1.4,1.5,1.6,1.7,1.8"</formula1>
    </dataValidation>
    <dataValidation allowBlank="1" showInputMessage="1" showErrorMessage="1" prompt="This legend cell indicates plan duration" sqref="L3" xr:uid="{00000000-0002-0000-0000-000002000000}"/>
    <dataValidation allowBlank="1" showInputMessage="1" showErrorMessage="1" prompt="This legend cell indicates actual duration" sqref="R3" xr:uid="{00000000-0002-0000-0000-000003000000}"/>
    <dataValidation allowBlank="1" showInputMessage="1" showErrorMessage="1" prompt="This legend cell indicates the percentage of project completed" sqref="W3" xr:uid="{00000000-0002-0000-0000-000004000000}"/>
    <dataValidation allowBlank="1" showInputMessage="1" showErrorMessage="1" prompt="This legend cell indicates actual duration beyond plan" sqref="AB3" xr:uid="{00000000-0002-0000-0000-000005000000}"/>
    <dataValidation allowBlank="1" showInputMessage="1" showErrorMessage="1" prompt="This legend cell indicates the percentage of project completed beyond plan" sqref="AJ3" xr:uid="{00000000-0002-0000-0000-000006000000}"/>
    <dataValidation allowBlank="1" showInputMessage="1" showErrorMessage="1" prompt="Periods are charted from 1 to 60 starting from cell H4 to cell BO4 " sqref="J4" xr:uid="{00000000-0002-0000-0000-000007000000}"/>
    <dataValidation allowBlank="1" showInputMessage="1" showErrorMessage="1" prompt="Enter activity in column B, starting with cell B5_x000a_" sqref="B4:B5 C4" xr:uid="{00000000-0002-0000-0000-000008000000}"/>
    <dataValidation allowBlank="1" showInputMessage="1" showErrorMessage="1" prompt="Enter plan start period in column C, starting with cell C5" sqref="D4:D5" xr:uid="{00000000-0002-0000-0000-000009000000}"/>
    <dataValidation allowBlank="1" showInputMessage="1" showErrorMessage="1" prompt="Enter plan duration period in column D, starting with cell D5" sqref="E4:E5" xr:uid="{00000000-0002-0000-0000-00000A000000}"/>
    <dataValidation allowBlank="1" showInputMessage="1" showErrorMessage="1" prompt="Enter actual start period in column E, starting with cell E5" sqref="F4:F5" xr:uid="{00000000-0002-0000-0000-00000B000000}"/>
    <dataValidation allowBlank="1" showInputMessage="1" showErrorMessage="1" prompt="Enter actual duration period in column F, starting with cell F5" sqref="G4:G5" xr:uid="{00000000-0002-0000-0000-00000C000000}"/>
    <dataValidation allowBlank="1" showInputMessage="1" showErrorMessage="1" prompt="Enter the percentage of project completed in column G, starting with cell G5" sqref="H4:H5 I4" xr:uid="{00000000-0002-0000-0000-00000D000000}"/>
    <dataValidation allowBlank="1" showInputMessage="1" showErrorMessage="1" prompt="Title of the project. Enter a new title in this cell. Highlight a period in H2. Chart legend is in J2 to AI2" sqref="B1:C2" xr:uid="{00000000-0002-0000-0000-00000E000000}"/>
    <dataValidation allowBlank="1" showInputMessage="1" showErrorMessage="1" prompt="Select a period to highlight in H2. A Chart legend is in J2 to AI2" sqref="B3:G3" xr:uid="{00000000-0002-0000-0000-00000F000000}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43" fitToHeight="0" orientation="landscape" r:id="rId1"/>
  <headerFooter>
    <oddFooter>&amp;L&amp;"-,Regular"&amp;D&amp;C&amp;"-,Regular"Page &amp;P of &amp;N&amp;R&amp;"-,Regular"&amp;Z&amp;F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Planner</vt:lpstr>
      <vt:lpstr>period_selected</vt:lpstr>
      <vt:lpstr>Planner!Print_Titles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Glenn Jacobs</dc:creator>
  <cp:lastModifiedBy>Robin Van der snoek</cp:lastModifiedBy>
  <cp:lastPrinted>2021-04-20T10:02:25Z</cp:lastPrinted>
  <dcterms:created xsi:type="dcterms:W3CDTF">2016-12-05T05:14:59Z</dcterms:created>
  <dcterms:modified xsi:type="dcterms:W3CDTF">2022-05-20T08:09:11Z</dcterms:modified>
</cp:coreProperties>
</file>